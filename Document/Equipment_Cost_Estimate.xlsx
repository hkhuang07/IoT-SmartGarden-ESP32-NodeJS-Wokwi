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udy\Programming_IoT\Projects\Group Projec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E3" i="1" l="1"/>
  <c r="E15" i="1" s="1"/>
  <c r="E4" i="1"/>
  <c r="E5" i="1"/>
  <c r="E6" i="1"/>
  <c r="E7" i="1"/>
  <c r="E9" i="1"/>
  <c r="E10" i="1"/>
  <c r="E11" i="1"/>
  <c r="E12" i="1"/>
  <c r="E13" i="1"/>
  <c r="E14" i="1"/>
</calcChain>
</file>

<file path=xl/sharedStrings.xml><?xml version="1.0" encoding="utf-8"?>
<sst xmlns="http://schemas.openxmlformats.org/spreadsheetml/2006/main" count="23" uniqueCount="23">
  <si>
    <t xml:space="preserve">Equipment cost estimate - Dự toán chi phí thiết bị </t>
  </si>
  <si>
    <t>Devices</t>
  </si>
  <si>
    <t>Quantity</t>
  </si>
  <si>
    <t>No.</t>
  </si>
  <si>
    <t>Estimated cost (VND)</t>
  </si>
  <si>
    <t>Note</t>
  </si>
  <si>
    <t>Bo mạch Arduino Uno R3</t>
  </si>
  <si>
    <t>Hoặc Arduino Mega</t>
  </si>
  <si>
    <t>Cảm biến độ ẩm đất</t>
  </si>
  <si>
    <t>Cảm biến NPK</t>
  </si>
  <si>
    <t>Module thu phát RS485</t>
  </si>
  <si>
    <t>Dùng cho cảm biến NPK</t>
  </si>
  <si>
    <t>Cảm biến thời tiết BME280</t>
  </si>
  <si>
    <t>Cảm biến mưa</t>
  </si>
  <si>
    <t>Module Relay 4 kênh</t>
  </si>
  <si>
    <t>Điều kiển máy bơm, đèn, van</t>
  </si>
  <si>
    <t>Máy bơm mini 5V/12V</t>
  </si>
  <si>
    <t>Đèn sưởi/ đèn LED</t>
  </si>
  <si>
    <t>Các loại dây nối, điện trở</t>
  </si>
  <si>
    <t>Total:  ~</t>
  </si>
  <si>
    <t xml:space="preserve">Chi phí phát sinh </t>
  </si>
  <si>
    <t>Subtotal</t>
  </si>
  <si>
    <t>Cảm biến ánh sáng (quang trở)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</si>
</sst>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topLeftCell="A9" zoomScaleNormal="100" workbookViewId="0">
      <selection activeCell="E19" sqref="E19"/>
    </sheetView>
  </sheetViews>
  <sheetFormatPr defaultRowHeight="15" x14ac:dyDescent="0.25"/>
  <cols>
    <col min="1" max="1" width="4.140625" bestFit="1" customWidth="1"/>
    <col min="2" max="2" width="28.42578125" bestFit="1" customWidth="1"/>
    <col min="3" max="3" width="8.7109375" bestFit="1" customWidth="1"/>
    <col min="4" max="4" width="20" bestFit="1" customWidth="1"/>
    <col min="5" max="5" width="8.42578125" bestFit="1" customWidth="1"/>
    <col min="6" max="6" width="27.28515625" bestFit="1" customWidth="1"/>
  </cols>
  <sheetData>
    <row r="1" spans="1:6" x14ac:dyDescent="0.25">
      <c r="A1" s="10" t="s">
        <v>0</v>
      </c>
      <c r="B1" s="11"/>
      <c r="C1" s="11"/>
      <c r="D1" s="11"/>
      <c r="E1" s="11"/>
      <c r="F1" s="11"/>
    </row>
    <row r="2" spans="1:6" x14ac:dyDescent="0.25">
      <c r="A2" s="1" t="s">
        <v>3</v>
      </c>
      <c r="B2" s="1" t="s">
        <v>1</v>
      </c>
      <c r="C2" s="1" t="s">
        <v>2</v>
      </c>
      <c r="D2" s="1" t="s">
        <v>4</v>
      </c>
      <c r="E2" s="1" t="s">
        <v>21</v>
      </c>
      <c r="F2" s="1" t="s">
        <v>5</v>
      </c>
    </row>
    <row r="3" spans="1:6" x14ac:dyDescent="0.25">
      <c r="A3" s="4">
        <v>1</v>
      </c>
      <c r="B3" s="2" t="s">
        <v>6</v>
      </c>
      <c r="C3" s="2">
        <v>1</v>
      </c>
      <c r="D3" s="3">
        <v>80</v>
      </c>
      <c r="E3" s="3">
        <f>D3*C3</f>
        <v>80</v>
      </c>
      <c r="F3" s="2" t="s">
        <v>7</v>
      </c>
    </row>
    <row r="4" spans="1:6" x14ac:dyDescent="0.25">
      <c r="A4" s="4">
        <v>2</v>
      </c>
      <c r="B4" s="2" t="s">
        <v>8</v>
      </c>
      <c r="C4" s="2">
        <v>1</v>
      </c>
      <c r="D4" s="3">
        <v>25</v>
      </c>
      <c r="E4" s="3">
        <f t="shared" ref="E4:E14" si="0">D4*C4</f>
        <v>25</v>
      </c>
      <c r="F4" s="2"/>
    </row>
    <row r="5" spans="1:6" x14ac:dyDescent="0.25">
      <c r="A5" s="4">
        <v>3</v>
      </c>
      <c r="B5" s="2" t="s">
        <v>9</v>
      </c>
      <c r="C5" s="2">
        <v>1</v>
      </c>
      <c r="D5" s="3">
        <v>250</v>
      </c>
      <c r="E5" s="3">
        <f t="shared" si="0"/>
        <v>250</v>
      </c>
      <c r="F5" s="2"/>
    </row>
    <row r="6" spans="1:6" x14ac:dyDescent="0.25">
      <c r="A6" s="4">
        <v>4</v>
      </c>
      <c r="B6" s="2" t="s">
        <v>10</v>
      </c>
      <c r="C6" s="2">
        <v>1</v>
      </c>
      <c r="D6" s="3">
        <v>30</v>
      </c>
      <c r="E6" s="3">
        <f t="shared" si="0"/>
        <v>30</v>
      </c>
      <c r="F6" s="2" t="s">
        <v>11</v>
      </c>
    </row>
    <row r="7" spans="1:6" x14ac:dyDescent="0.25">
      <c r="A7" s="4">
        <v>5</v>
      </c>
      <c r="B7" s="2" t="s">
        <v>12</v>
      </c>
      <c r="C7" s="2">
        <v>1</v>
      </c>
      <c r="D7" s="3">
        <v>45</v>
      </c>
      <c r="E7" s="3">
        <f t="shared" si="0"/>
        <v>45</v>
      </c>
      <c r="F7" s="2"/>
    </row>
    <row r="8" spans="1:6" x14ac:dyDescent="0.25">
      <c r="A8" s="4">
        <v>6</v>
      </c>
      <c r="B8" s="2" t="s">
        <v>22</v>
      </c>
      <c r="C8" s="2">
        <v>1</v>
      </c>
      <c r="D8" s="3">
        <v>10</v>
      </c>
      <c r="E8" s="3">
        <f t="shared" si="0"/>
        <v>10</v>
      </c>
      <c r="F8" s="2"/>
    </row>
    <row r="9" spans="1:6" x14ac:dyDescent="0.25">
      <c r="A9" s="4">
        <v>7</v>
      </c>
      <c r="B9" s="2" t="s">
        <v>13</v>
      </c>
      <c r="C9" s="2">
        <v>1</v>
      </c>
      <c r="D9" s="3">
        <v>20</v>
      </c>
      <c r="E9" s="3">
        <f t="shared" si="0"/>
        <v>20</v>
      </c>
      <c r="F9" s="2"/>
    </row>
    <row r="10" spans="1:6" x14ac:dyDescent="0.25">
      <c r="A10" s="4">
        <v>8</v>
      </c>
      <c r="B10" s="2" t="s">
        <v>14</v>
      </c>
      <c r="C10" s="2">
        <v>1</v>
      </c>
      <c r="D10" s="3">
        <v>50</v>
      </c>
      <c r="E10" s="3">
        <f t="shared" si="0"/>
        <v>50</v>
      </c>
      <c r="F10" s="2" t="s">
        <v>15</v>
      </c>
    </row>
    <row r="11" spans="1:6" x14ac:dyDescent="0.25">
      <c r="A11" s="4">
        <v>9</v>
      </c>
      <c r="B11" s="2" t="s">
        <v>16</v>
      </c>
      <c r="C11" s="2">
        <v>1</v>
      </c>
      <c r="D11" s="3">
        <v>40</v>
      </c>
      <c r="E11" s="3">
        <f t="shared" si="0"/>
        <v>40</v>
      </c>
      <c r="F11" s="2"/>
    </row>
    <row r="12" spans="1:6" x14ac:dyDescent="0.25">
      <c r="A12" s="4">
        <v>10</v>
      </c>
      <c r="B12" s="2" t="s">
        <v>17</v>
      </c>
      <c r="C12" s="2">
        <v>1</v>
      </c>
      <c r="D12" s="3">
        <v>15</v>
      </c>
      <c r="E12" s="3">
        <f t="shared" si="0"/>
        <v>15</v>
      </c>
      <c r="F12" s="2"/>
    </row>
    <row r="13" spans="1:6" x14ac:dyDescent="0.25">
      <c r="A13" s="4">
        <v>11</v>
      </c>
      <c r="B13" s="2" t="s">
        <v>18</v>
      </c>
      <c r="C13" s="2">
        <v>1</v>
      </c>
      <c r="D13" s="3">
        <v>25</v>
      </c>
      <c r="E13" s="3">
        <f t="shared" si="0"/>
        <v>25</v>
      </c>
      <c r="F13" s="2"/>
    </row>
    <row r="14" spans="1:6" x14ac:dyDescent="0.25">
      <c r="A14" s="4">
        <v>12</v>
      </c>
      <c r="B14" s="2" t="s">
        <v>20</v>
      </c>
      <c r="C14" s="2">
        <v>1</v>
      </c>
      <c r="D14" s="3">
        <v>100</v>
      </c>
      <c r="E14" s="3">
        <f t="shared" si="0"/>
        <v>100</v>
      </c>
      <c r="F14" s="2"/>
    </row>
    <row r="15" spans="1:6" x14ac:dyDescent="0.25">
      <c r="A15" s="7"/>
      <c r="B15" s="8"/>
      <c r="C15" s="9"/>
      <c r="D15" s="5" t="s">
        <v>19</v>
      </c>
      <c r="E15" s="6">
        <f>SUM(E3:E14)</f>
        <v>690</v>
      </c>
      <c r="F15" s="2"/>
    </row>
  </sheetData>
  <mergeCells count="2">
    <mergeCell ref="A15:C15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Quốc Huy</dc:creator>
  <cp:lastModifiedBy>Huỳnh Quốc Huy</cp:lastModifiedBy>
  <dcterms:created xsi:type="dcterms:W3CDTF">2025-09-12T04:21:10Z</dcterms:created>
  <dcterms:modified xsi:type="dcterms:W3CDTF">2025-09-12T10:44:19Z</dcterms:modified>
</cp:coreProperties>
</file>